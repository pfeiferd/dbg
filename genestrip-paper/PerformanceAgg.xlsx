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pfeifer/dev/intellij/genestrip-docs/genestrip-paper/"/>
    </mc:Choice>
  </mc:AlternateContent>
  <xr:revisionPtr revIDLastSave="0" documentId="13_ncr:1_{5CCB5EA8-0F91-364C-8DEB-827CB2E4EACF}" xr6:coauthVersionLast="47" xr6:coauthVersionMax="47" xr10:uidLastSave="{00000000-0000-0000-0000-000000000000}"/>
  <bookViews>
    <workbookView xWindow="18340" yWindow="2600" windowWidth="28240" windowHeight="17240" xr2:uid="{67B10AA0-C676-4043-B402-DC49FD63A342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" l="1"/>
  <c r="E19" i="1"/>
  <c r="C20" i="1"/>
  <c r="C19" i="1"/>
  <c r="D20" i="1"/>
  <c r="D19" i="1"/>
  <c r="B20" i="1"/>
  <c r="B19" i="1"/>
  <c r="F11" i="1"/>
  <c r="F10" i="1"/>
  <c r="E11" i="1"/>
  <c r="E10" i="1"/>
  <c r="D11" i="1"/>
  <c r="D10" i="1"/>
  <c r="C11" i="1"/>
  <c r="C10" i="1"/>
  <c r="B11" i="1"/>
  <c r="B10" i="1"/>
  <c r="G11" i="1"/>
  <c r="G10" i="1"/>
</calcChain>
</file>

<file path=xl/sharedStrings.xml><?xml version="1.0" encoding="utf-8"?>
<sst xmlns="http://schemas.openxmlformats.org/spreadsheetml/2006/main" count="9" uniqueCount="9">
  <si>
    <t>Tick</t>
  </si>
  <si>
    <t xml:space="preserve">KU Time </t>
  </si>
  <si>
    <t>KU Mem</t>
  </si>
  <si>
    <t xml:space="preserve">G Time </t>
  </si>
  <si>
    <t>G Mem</t>
  </si>
  <si>
    <t>reads</t>
  </si>
  <si>
    <t>BPs</t>
  </si>
  <si>
    <t>File</t>
  </si>
  <si>
    <t>Viral: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</si>
</sst>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10E3A-272D-6E4C-8D16-0A4E7EE62052}">
  <dimension ref="A1:G20"/>
  <sheetViews>
    <sheetView tabSelected="1" zoomScale="180" zoomScaleNormal="180" workbookViewId="0">
      <selection activeCell="D10" sqref="D10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847</v>
      </c>
      <c r="C2">
        <v>31883228</v>
      </c>
      <c r="D2">
        <v>53</v>
      </c>
      <c r="E2">
        <v>8562804</v>
      </c>
      <c r="F2">
        <v>1154447</v>
      </c>
      <c r="G2">
        <v>365</v>
      </c>
    </row>
    <row r="3" spans="1:7" x14ac:dyDescent="0.2">
      <c r="A3">
        <v>2</v>
      </c>
      <c r="B3">
        <v>849</v>
      </c>
      <c r="C3">
        <v>31911908</v>
      </c>
      <c r="D3">
        <v>48</v>
      </c>
      <c r="E3">
        <v>8553200</v>
      </c>
      <c r="F3">
        <v>1115550</v>
      </c>
      <c r="G3">
        <v>350</v>
      </c>
    </row>
    <row r="4" spans="1:7" x14ac:dyDescent="0.2">
      <c r="A4">
        <v>3</v>
      </c>
      <c r="B4">
        <v>740</v>
      </c>
      <c r="C4">
        <v>31877076</v>
      </c>
      <c r="D4">
        <v>42</v>
      </c>
      <c r="E4">
        <v>8558192</v>
      </c>
      <c r="F4">
        <v>644767</v>
      </c>
      <c r="G4">
        <v>362</v>
      </c>
    </row>
    <row r="5" spans="1:7" x14ac:dyDescent="0.2">
      <c r="A5">
        <v>4</v>
      </c>
      <c r="B5">
        <v>985</v>
      </c>
      <c r="C5">
        <v>31859908</v>
      </c>
      <c r="D5">
        <v>49</v>
      </c>
      <c r="E5">
        <v>8556132</v>
      </c>
      <c r="F5">
        <v>1853677</v>
      </c>
      <c r="G5">
        <v>357</v>
      </c>
    </row>
    <row r="6" spans="1:7" x14ac:dyDescent="0.2">
      <c r="A6">
        <v>5</v>
      </c>
      <c r="B6">
        <v>942</v>
      </c>
      <c r="C6">
        <v>31878080</v>
      </c>
      <c r="D6">
        <v>49</v>
      </c>
      <c r="E6">
        <v>8563888</v>
      </c>
      <c r="F6">
        <v>2233967</v>
      </c>
      <c r="G6">
        <v>278</v>
      </c>
    </row>
    <row r="7" spans="1:7" x14ac:dyDescent="0.2">
      <c r="A7">
        <v>6</v>
      </c>
      <c r="B7">
        <v>823</v>
      </c>
      <c r="C7">
        <v>31904056</v>
      </c>
      <c r="D7">
        <v>45</v>
      </c>
      <c r="E7">
        <v>8549392</v>
      </c>
      <c r="F7">
        <v>1494667</v>
      </c>
      <c r="G7">
        <v>263</v>
      </c>
    </row>
    <row r="8" spans="1:7" x14ac:dyDescent="0.2">
      <c r="A8">
        <v>7</v>
      </c>
      <c r="B8">
        <v>733</v>
      </c>
      <c r="C8">
        <v>31879428</v>
      </c>
      <c r="D8">
        <v>42</v>
      </c>
      <c r="E8">
        <v>8545208</v>
      </c>
      <c r="F8">
        <v>712929</v>
      </c>
      <c r="G8">
        <v>262</v>
      </c>
    </row>
    <row r="9" spans="1:7" x14ac:dyDescent="0.2">
      <c r="A9">
        <v>8</v>
      </c>
      <c r="B9">
        <v>814</v>
      </c>
      <c r="C9">
        <v>31877292</v>
      </c>
      <c r="D9">
        <v>44</v>
      </c>
      <c r="E9">
        <v>8556824</v>
      </c>
      <c r="F9">
        <v>837779</v>
      </c>
      <c r="G9">
        <v>295</v>
      </c>
    </row>
    <row r="10" spans="1:7" x14ac:dyDescent="0.2">
      <c r="B10">
        <f>AVERAGE(B$2:B$9)/60</f>
        <v>14.027083333333334</v>
      </c>
      <c r="C10">
        <f>AVERAGE(C$2:C$9)/1024</f>
        <v>31136.59375</v>
      </c>
      <c r="D10">
        <f>AVERAGE(D$2:D$9)/60</f>
        <v>0.77500000000000002</v>
      </c>
      <c r="E10">
        <f>AVERAGE(E$2:E$9)/1024</f>
        <v>8355.1806640625</v>
      </c>
      <c r="F10">
        <f>AVERAGE(F$2:F$9)</f>
        <v>1255972.875</v>
      </c>
      <c r="G10">
        <f>AVERAGE(G$2:G$9)</f>
        <v>316.5</v>
      </c>
    </row>
    <row r="11" spans="1:7" x14ac:dyDescent="0.2">
      <c r="B11">
        <f>MAX(B$2:B$9)/60</f>
        <v>16.416666666666668</v>
      </c>
      <c r="C11">
        <f>MAX(C$2:C$9)/1024</f>
        <v>31163.97265625</v>
      </c>
      <c r="D11">
        <f>MAX(D$2:D$9)/60</f>
        <v>0.8833333333333333</v>
      </c>
      <c r="E11">
        <f>MAX(E$2:E$9)/1024</f>
        <v>8363.171875</v>
      </c>
      <c r="F11">
        <f>MAX(F$2:F$9)</f>
        <v>2233967</v>
      </c>
      <c r="G11">
        <f>MAX(G$2:G$9)</f>
        <v>365</v>
      </c>
    </row>
    <row r="12" spans="1:7" x14ac:dyDescent="0.2">
      <c r="A12" t="s">
        <v>8</v>
      </c>
    </row>
    <row r="13" spans="1:7" x14ac:dyDescent="0.2">
      <c r="A13" t="s">
        <v>7</v>
      </c>
    </row>
    <row r="14" spans="1:7" x14ac:dyDescent="0.2">
      <c r="B14">
        <v>1519</v>
      </c>
      <c r="C14">
        <v>10854864</v>
      </c>
      <c r="D14">
        <v>2099</v>
      </c>
      <c r="E14">
        <v>6435756</v>
      </c>
    </row>
    <row r="15" spans="1:7" x14ac:dyDescent="0.2">
      <c r="B15">
        <v>1687</v>
      </c>
      <c r="C15">
        <v>10800372</v>
      </c>
      <c r="D15">
        <v>2485</v>
      </c>
      <c r="E15">
        <v>6452600</v>
      </c>
    </row>
    <row r="16" spans="1:7" x14ac:dyDescent="0.2">
      <c r="B16">
        <v>1294</v>
      </c>
      <c r="C16">
        <v>10788616</v>
      </c>
      <c r="D16">
        <v>1810</v>
      </c>
      <c r="E16">
        <v>6441692</v>
      </c>
    </row>
    <row r="17" spans="2:5" x14ac:dyDescent="0.2">
      <c r="B17">
        <v>943</v>
      </c>
      <c r="C17">
        <v>10703152</v>
      </c>
      <c r="D17">
        <v>1514</v>
      </c>
      <c r="E17">
        <v>6436120</v>
      </c>
    </row>
    <row r="18" spans="2:5" x14ac:dyDescent="0.2">
      <c r="B18">
        <v>1582</v>
      </c>
      <c r="C18">
        <v>10787188</v>
      </c>
      <c r="D18">
        <v>2306</v>
      </c>
      <c r="E18">
        <v>6450868</v>
      </c>
    </row>
    <row r="19" spans="2:5" x14ac:dyDescent="0.2">
      <c r="B19">
        <f>AVERAGE(B$14:B$18)/60</f>
        <v>23.416666666666668</v>
      </c>
      <c r="C19">
        <f>AVERAGE(C$14:C$18)/1024</f>
        <v>10534.021875</v>
      </c>
      <c r="D19">
        <f>AVERAGE(D$14:D$18)/60</f>
        <v>34.046666666666667</v>
      </c>
      <c r="E19">
        <f>AVERAGE(E$14:E$18)/1024</f>
        <v>6292.3898437500002</v>
      </c>
    </row>
    <row r="20" spans="2:5" x14ac:dyDescent="0.2">
      <c r="B20">
        <f>MAX(B$14:B$18)/60</f>
        <v>28.116666666666667</v>
      </c>
      <c r="C20">
        <f>MAX(C$14:C$18)/1024</f>
        <v>10600.453125</v>
      </c>
      <c r="D20">
        <f>MAX(D$14:D$18)/60</f>
        <v>41.416666666666664</v>
      </c>
      <c r="E20">
        <f>MAX(E$14:E$18)/1024</f>
        <v>6301.3671875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2025-08-04T17:55:20Z</dcterms:created>
  <dcterms:modified xsi:type="dcterms:W3CDTF">2025-08-04T19:17:33Z</dcterms:modified>
</cp:coreProperties>
</file>